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f\Área de Trabalho\"/>
    </mc:Choice>
  </mc:AlternateContent>
  <xr:revisionPtr revIDLastSave="0" documentId="13_ncr:1_{F95E29FB-ABD4-4445-AC5B-1EE6A8C297EA}" xr6:coauthVersionLast="47" xr6:coauthVersionMax="47" xr10:uidLastSave="{00000000-0000-0000-0000-000000000000}"/>
  <bookViews>
    <workbookView xWindow="-120" yWindow="-120" windowWidth="29040" windowHeight="15720" activeTab="1" xr2:uid="{C19ACF4B-4B8E-4042-9B6D-91BB926B5487}"/>
  </bookViews>
  <sheets>
    <sheet name="Matriz 3x3" sheetId="1" r:id="rId1"/>
    <sheet name="Inversa 3x3" sheetId="3" r:id="rId2"/>
    <sheet name="Determinante 3x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H2" i="4"/>
  <c r="F2" i="4"/>
  <c r="B9" i="4"/>
  <c r="A9" i="4"/>
  <c r="C7" i="4"/>
  <c r="B7" i="4"/>
  <c r="C11" i="4" s="1"/>
  <c r="A7" i="4"/>
  <c r="C6" i="4"/>
  <c r="C10" i="4" s="1"/>
  <c r="B6" i="4"/>
  <c r="B10" i="4" s="1"/>
  <c r="A6" i="4"/>
  <c r="A10" i="4" s="1"/>
  <c r="C5" i="4"/>
  <c r="C9" i="4" s="1"/>
  <c r="B5" i="4"/>
  <c r="A5" i="4"/>
  <c r="B11" i="4" l="1"/>
  <c r="A11" i="4"/>
  <c r="F15" i="3" l="1"/>
  <c r="F11" i="3"/>
  <c r="F7" i="3"/>
  <c r="M7" i="3" s="1"/>
  <c r="E7" i="3"/>
  <c r="L7" i="3" s="1"/>
  <c r="F5" i="3"/>
  <c r="E5" i="3"/>
  <c r="F6" i="3"/>
  <c r="E6" i="3"/>
  <c r="D6" i="3"/>
  <c r="C6" i="3"/>
  <c r="B6" i="3"/>
  <c r="A6" i="3"/>
  <c r="M3" i="3"/>
  <c r="L3" i="3"/>
  <c r="K3" i="3"/>
  <c r="J3" i="3"/>
  <c r="I3" i="3"/>
  <c r="H3" i="3"/>
  <c r="A7" i="3" s="1"/>
  <c r="H7" i="3" s="1"/>
  <c r="M2" i="3"/>
  <c r="L2" i="3"/>
  <c r="K2" i="3"/>
  <c r="J2" i="3"/>
  <c r="I2" i="3"/>
  <c r="D5" i="3" s="1"/>
  <c r="H2" i="3"/>
  <c r="M1" i="3"/>
  <c r="L1" i="3"/>
  <c r="K1" i="3"/>
  <c r="J1" i="3"/>
  <c r="I1" i="3"/>
  <c r="H1" i="3"/>
  <c r="K3" i="1"/>
  <c r="C9" i="1"/>
  <c r="B9" i="1"/>
  <c r="A9" i="1"/>
  <c r="D7" i="1"/>
  <c r="C7" i="1"/>
  <c r="B7" i="1"/>
  <c r="A7" i="1"/>
  <c r="A11" i="1" s="1"/>
  <c r="D6" i="1"/>
  <c r="D10" i="1" s="1"/>
  <c r="C6" i="1"/>
  <c r="C10" i="1" s="1"/>
  <c r="B6" i="1"/>
  <c r="B10" i="1" s="1"/>
  <c r="A6" i="1"/>
  <c r="A10" i="1" s="1"/>
  <c r="D5" i="1"/>
  <c r="D9" i="1" s="1"/>
  <c r="C5" i="1"/>
  <c r="B5" i="1"/>
  <c r="A5" i="1"/>
  <c r="B7" i="3" l="1"/>
  <c r="I7" i="3" s="1"/>
  <c r="C7" i="3"/>
  <c r="D7" i="3"/>
  <c r="K7" i="3" s="1"/>
  <c r="A5" i="3"/>
  <c r="B5" i="3"/>
  <c r="C5" i="3"/>
  <c r="D11" i="1"/>
  <c r="C11" i="1"/>
  <c r="B11" i="1"/>
  <c r="I6" i="3" l="1"/>
  <c r="H6" i="3"/>
  <c r="L5" i="3"/>
  <c r="J7" i="3"/>
  <c r="M5" i="3"/>
  <c r="K5" i="3"/>
  <c r="J5" i="3"/>
  <c r="I5" i="3"/>
  <c r="L6" i="3"/>
  <c r="H5" i="3"/>
  <c r="K6" i="3"/>
  <c r="M6" i="3"/>
  <c r="J6" i="3"/>
  <c r="K4" i="1"/>
  <c r="I4" i="1"/>
  <c r="G4" i="1"/>
  <c r="C13" i="3" l="1"/>
  <c r="E9" i="3"/>
  <c r="L9" i="3" s="1"/>
  <c r="A9" i="3"/>
  <c r="D13" i="3"/>
  <c r="K13" i="3" s="1"/>
  <c r="B13" i="3"/>
  <c r="F9" i="3"/>
  <c r="M9" i="3" s="1"/>
  <c r="A13" i="3"/>
  <c r="D9" i="3"/>
  <c r="K9" i="3" s="1"/>
  <c r="C9" i="3"/>
  <c r="E13" i="3"/>
  <c r="L13" i="3" s="1"/>
  <c r="B9" i="3"/>
  <c r="F13" i="3"/>
  <c r="M13" i="3" s="1"/>
  <c r="E15" i="3"/>
  <c r="L15" i="3" s="1"/>
  <c r="M11" i="3"/>
  <c r="C11" i="3"/>
  <c r="M15" i="3"/>
  <c r="D15" i="3"/>
  <c r="K15" i="3" s="1"/>
  <c r="E11" i="3"/>
  <c r="L11" i="3" s="1"/>
  <c r="B11" i="3"/>
  <c r="D11" i="3"/>
  <c r="K11" i="3" s="1"/>
  <c r="B15" i="3"/>
  <c r="A11" i="3"/>
  <c r="C15" i="3"/>
  <c r="A15" i="3"/>
  <c r="A10" i="3"/>
  <c r="F14" i="3"/>
  <c r="M14" i="3" s="1"/>
  <c r="E14" i="3"/>
  <c r="L14" i="3" s="1"/>
  <c r="D14" i="3"/>
  <c r="K14" i="3" s="1"/>
  <c r="B14" i="3"/>
  <c r="F10" i="3"/>
  <c r="M10" i="3" s="1"/>
  <c r="E10" i="3"/>
  <c r="L10" i="3" s="1"/>
  <c r="A14" i="3"/>
  <c r="D10" i="3"/>
  <c r="K10" i="3" s="1"/>
  <c r="C10" i="3"/>
  <c r="C14" i="3"/>
  <c r="B10" i="3"/>
  <c r="I3" i="1"/>
  <c r="G3" i="1"/>
  <c r="K2" i="1" l="1"/>
  <c r="I2" i="1"/>
  <c r="G2" i="1"/>
</calcChain>
</file>

<file path=xl/sharedStrings.xml><?xml version="1.0" encoding="utf-8"?>
<sst xmlns="http://schemas.openxmlformats.org/spreadsheetml/2006/main" count="23" uniqueCount="13">
  <si>
    <t>VAR</t>
  </si>
  <si>
    <t>INTEIRO</t>
  </si>
  <si>
    <t>FRAÇÃO</t>
  </si>
  <si>
    <t>DECIMAL</t>
  </si>
  <si>
    <t>X=</t>
  </si>
  <si>
    <t>Y=</t>
  </si>
  <si>
    <t>Z=</t>
  </si>
  <si>
    <t>~</t>
  </si>
  <si>
    <t xml:space="preserve">LOGO = </t>
  </si>
  <si>
    <t>INT-DEC</t>
  </si>
  <si>
    <t>RESULTADOS</t>
  </si>
  <si>
    <t>ESSA COR É PARA ENTRADA DE DADOS</t>
  </si>
  <si>
    <t>DET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</si>
</sst>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\ ???/???"/>
  </numFmts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27">
    <xf numFmtId="0" fontId="0" fillId="0" borderId="0" xfId="0"/>
    <xf numFmtId="0" fontId="1" fillId="2" borderId="1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NumberFormat="1" applyFill="1" applyBorder="1" applyAlignment="1">
      <alignment horizontal="center"/>
    </xf>
    <xf numFmtId="12" fontId="1" fillId="3" borderId="2" xfId="1" applyNumberFormat="1" applyFill="1" applyBorder="1" applyAlignment="1"/>
    <xf numFmtId="164" fontId="1" fillId="3" borderId="2" xfId="1" applyNumberForma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0" borderId="0" xfId="1"/>
    <xf numFmtId="0" fontId="0" fillId="0" borderId="0" xfId="0" applyAlignment="1">
      <alignment horizontal="center"/>
    </xf>
    <xf numFmtId="0" fontId="2" fillId="2" borderId="1" xfId="2"/>
    <xf numFmtId="0" fontId="3" fillId="3" borderId="2" xfId="3" applyAlignment="1">
      <alignment horizontal="center"/>
    </xf>
    <xf numFmtId="0" fontId="3" fillId="3" borderId="2" xfId="3"/>
    <xf numFmtId="0" fontId="1" fillId="0" borderId="3" xfId="1" applyBorder="1" applyAlignment="1">
      <alignment horizontal="center"/>
    </xf>
    <xf numFmtId="0" fontId="1" fillId="5" borderId="0" xfId="1" applyFill="1"/>
    <xf numFmtId="0" fontId="1" fillId="4" borderId="4" xfId="1" applyFill="1" applyBorder="1" applyAlignment="1">
      <alignment horizontal="center"/>
    </xf>
    <xf numFmtId="0" fontId="1" fillId="5" borderId="0" xfId="1" applyFill="1" applyAlignment="1">
      <alignment horizontal="center"/>
    </xf>
    <xf numFmtId="165" fontId="1" fillId="3" borderId="1" xfId="1" applyNumberFormat="1" applyFill="1" applyBorder="1" applyAlignment="1">
      <alignment horizontal="center"/>
    </xf>
    <xf numFmtId="165" fontId="1" fillId="0" borderId="3" xfId="1" applyNumberFormat="1" applyBorder="1" applyAlignment="1">
      <alignment horizontal="center"/>
    </xf>
    <xf numFmtId="165" fontId="1" fillId="3" borderId="2" xfId="1" applyNumberFormat="1" applyFill="1" applyBorder="1" applyAlignment="1">
      <alignment horizontal="center"/>
    </xf>
    <xf numFmtId="0" fontId="1" fillId="2" borderId="1" xfId="1" applyFill="1" applyBorder="1"/>
    <xf numFmtId="0" fontId="1" fillId="2" borderId="1" xfId="1" applyFill="1" applyBorder="1" applyAlignment="1">
      <alignment horizontal="center" vertical="center"/>
    </xf>
    <xf numFmtId="0" fontId="3" fillId="3" borderId="2" xfId="3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164" fontId="1" fillId="3" borderId="2" xfId="1" applyNumberFormat="1" applyFill="1" applyBorder="1" applyAlignment="1">
      <alignment horizontal="center" vertical="center"/>
    </xf>
    <xf numFmtId="12" fontId="1" fillId="3" borderId="2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vertical="center"/>
    </xf>
  </cellXfs>
  <cellStyles count="4">
    <cellStyle name="Entrada" xfId="2" builtinId="20"/>
    <cellStyle name="Normal" xfId="0" builtinId="0"/>
    <cellStyle name="Saída" xfId="3" builtinId="21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3C80-1B9D-4EC6-9F13-62CFEEC887FD}">
  <dimension ref="A1:K11"/>
  <sheetViews>
    <sheetView workbookViewId="0">
      <selection activeCell="M12" sqref="M12"/>
    </sheetView>
  </sheetViews>
  <sheetFormatPr defaultRowHeight="15" x14ac:dyDescent="0.25"/>
  <cols>
    <col min="7" max="7" width="16" customWidth="1"/>
    <col min="8" max="8" width="7.42578125" customWidth="1"/>
    <col min="9" max="9" width="14.5703125" customWidth="1"/>
    <col min="11" max="11" width="14.42578125" customWidth="1"/>
  </cols>
  <sheetData>
    <row r="1" spans="1:11" ht="23.25" x14ac:dyDescent="0.35">
      <c r="A1" s="1">
        <v>2</v>
      </c>
      <c r="B1" s="1">
        <v>3</v>
      </c>
      <c r="C1" s="1">
        <v>1</v>
      </c>
      <c r="D1" s="1">
        <v>8</v>
      </c>
      <c r="E1" s="2"/>
      <c r="F1" s="3" t="s">
        <v>0</v>
      </c>
      <c r="G1" s="3" t="s">
        <v>1</v>
      </c>
      <c r="H1" s="2"/>
      <c r="I1" s="3" t="s">
        <v>2</v>
      </c>
      <c r="J1" s="2"/>
      <c r="K1" s="3" t="s">
        <v>3</v>
      </c>
    </row>
    <row r="2" spans="1:11" ht="23.25" x14ac:dyDescent="0.35">
      <c r="A2" s="1">
        <v>1</v>
      </c>
      <c r="B2" s="1">
        <v>2</v>
      </c>
      <c r="C2" s="1">
        <v>-1</v>
      </c>
      <c r="D2" s="1">
        <v>0</v>
      </c>
      <c r="E2" s="2"/>
      <c r="F2" s="4" t="s">
        <v>4</v>
      </c>
      <c r="G2" s="4">
        <f>(D9-B9*G3-C9*G4)/A9</f>
        <v>1</v>
      </c>
      <c r="H2" s="2"/>
      <c r="I2" s="5">
        <f>(D9-B9*G3-C9*G4)/A9</f>
        <v>1</v>
      </c>
      <c r="J2" s="2"/>
      <c r="K2" s="6">
        <f>(D9-B9*G3-C9*G4)/A9</f>
        <v>1</v>
      </c>
    </row>
    <row r="3" spans="1:11" ht="23.25" x14ac:dyDescent="0.35">
      <c r="A3" s="1">
        <v>3</v>
      </c>
      <c r="B3" s="1">
        <v>1</v>
      </c>
      <c r="C3" s="1">
        <v>1</v>
      </c>
      <c r="D3" s="1">
        <v>7</v>
      </c>
      <c r="E3" s="2"/>
      <c r="F3" s="4" t="s">
        <v>5</v>
      </c>
      <c r="G3" s="4">
        <f>(D10-C10*G4)/B10</f>
        <v>1</v>
      </c>
      <c r="H3" s="2"/>
      <c r="I3" s="5">
        <f>(D10-C10*G4)/B10</f>
        <v>1</v>
      </c>
      <c r="J3" s="2"/>
      <c r="K3" s="6">
        <f>(D10-C10*G4)/B10</f>
        <v>1</v>
      </c>
    </row>
    <row r="4" spans="1:11" ht="23.25" x14ac:dyDescent="0.35">
      <c r="A4" s="2"/>
      <c r="B4" s="2"/>
      <c r="C4" s="2"/>
      <c r="D4" s="2"/>
      <c r="E4" s="2"/>
      <c r="F4" s="4" t="s">
        <v>6</v>
      </c>
      <c r="G4" s="4">
        <f>D11/C11</f>
        <v>3</v>
      </c>
      <c r="H4" s="2"/>
      <c r="I4" s="5">
        <f>D11/C11</f>
        <v>3</v>
      </c>
      <c r="J4" s="2"/>
      <c r="K4" s="6">
        <f>D11/C11</f>
        <v>3</v>
      </c>
    </row>
    <row r="5" spans="1:11" ht="23.25" x14ac:dyDescent="0.35">
      <c r="A5" s="7">
        <f>A1</f>
        <v>2</v>
      </c>
      <c r="B5" s="7">
        <f>B1</f>
        <v>3</v>
      </c>
      <c r="C5" s="7">
        <f>C1</f>
        <v>1</v>
      </c>
      <c r="D5" s="7">
        <f>D1</f>
        <v>8</v>
      </c>
      <c r="E5" s="2"/>
      <c r="F5" s="8"/>
      <c r="G5" s="8"/>
      <c r="H5" s="8"/>
      <c r="I5" s="8"/>
      <c r="J5" s="8"/>
      <c r="K5" s="8"/>
    </row>
    <row r="6" spans="1:11" ht="23.25" x14ac:dyDescent="0.35">
      <c r="A6" s="7">
        <f>-A2*A1 + A1 * A2</f>
        <v>0</v>
      </c>
      <c r="B6" s="7">
        <f>-A2*B1 + A1 * B2</f>
        <v>1</v>
      </c>
      <c r="C6" s="7">
        <f>-A2*C1 + A1 * C2</f>
        <v>-3</v>
      </c>
      <c r="D6" s="7">
        <f>-A2*D1 + A1 * D2</f>
        <v>-8</v>
      </c>
      <c r="E6" s="2"/>
      <c r="F6" s="8"/>
      <c r="G6" s="8"/>
      <c r="H6" s="8"/>
      <c r="I6" s="8"/>
      <c r="J6" s="8"/>
      <c r="K6" s="8"/>
    </row>
    <row r="7" spans="1:11" ht="23.25" x14ac:dyDescent="0.35">
      <c r="A7" s="7">
        <f>-A3*A1+A1*A3</f>
        <v>0</v>
      </c>
      <c r="B7" s="7">
        <f>-A3*B1+A1*B3</f>
        <v>-7</v>
      </c>
      <c r="C7" s="7">
        <f>-A3*C1+A1*C3</f>
        <v>-1</v>
      </c>
      <c r="D7" s="7">
        <f>-A3*D1+A1*D3</f>
        <v>-10</v>
      </c>
      <c r="E7" s="2"/>
      <c r="F7" s="20"/>
      <c r="G7" s="20"/>
      <c r="H7" s="21" t="s">
        <v>11</v>
      </c>
      <c r="I7" s="20"/>
      <c r="J7" s="20"/>
    </row>
    <row r="8" spans="1:11" ht="23.2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3.25" x14ac:dyDescent="0.35">
      <c r="A9" s="7">
        <f t="shared" ref="A9:D10" si="0">A5</f>
        <v>2</v>
      </c>
      <c r="B9" s="7">
        <f t="shared" si="0"/>
        <v>3</v>
      </c>
      <c r="C9" s="7">
        <f t="shared" si="0"/>
        <v>1</v>
      </c>
      <c r="D9" s="7">
        <f t="shared" si="0"/>
        <v>8</v>
      </c>
      <c r="E9" s="2"/>
      <c r="F9" s="2"/>
      <c r="G9" s="2"/>
      <c r="H9" s="2"/>
      <c r="I9" s="2"/>
      <c r="J9" s="2"/>
      <c r="K9" s="2"/>
    </row>
    <row r="10" spans="1:11" ht="23.25" x14ac:dyDescent="0.35">
      <c r="A10" s="7">
        <f t="shared" si="0"/>
        <v>0</v>
      </c>
      <c r="B10" s="7">
        <f t="shared" si="0"/>
        <v>1</v>
      </c>
      <c r="C10" s="7">
        <f t="shared" si="0"/>
        <v>-3</v>
      </c>
      <c r="D10" s="7">
        <f t="shared" si="0"/>
        <v>-8</v>
      </c>
      <c r="E10" s="2"/>
      <c r="F10" s="2"/>
      <c r="G10" s="2"/>
      <c r="H10" s="2"/>
      <c r="I10" s="2"/>
      <c r="J10" s="2"/>
      <c r="K10" s="2"/>
    </row>
    <row r="11" spans="1:11" ht="23.25" x14ac:dyDescent="0.35">
      <c r="A11" s="7">
        <f>A7</f>
        <v>0</v>
      </c>
      <c r="B11" s="7">
        <f>-B7*B6+B6*B7</f>
        <v>0</v>
      </c>
      <c r="C11" s="7">
        <f>-B7*C6+B6*C7</f>
        <v>-22</v>
      </c>
      <c r="D11" s="7">
        <f>-B7*D6+B6*D7</f>
        <v>-66</v>
      </c>
      <c r="E11" s="2"/>
      <c r="F11" s="2"/>
      <c r="G11" s="2"/>
      <c r="H11" s="2"/>
      <c r="I11" s="2"/>
      <c r="J11" s="2"/>
      <c r="K11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0CB7-6E0B-414C-AD6B-3BFF39409A86}">
  <dimension ref="A1:N17"/>
  <sheetViews>
    <sheetView tabSelected="1" workbookViewId="0">
      <selection activeCell="Q11" sqref="Q11"/>
    </sheetView>
  </sheetViews>
  <sheetFormatPr defaultRowHeight="15" x14ac:dyDescent="0.25"/>
  <cols>
    <col min="1" max="3" width="15.42578125" bestFit="1" customWidth="1"/>
    <col min="4" max="4" width="16.42578125" bestFit="1" customWidth="1"/>
    <col min="5" max="5" width="14.7109375" bestFit="1" customWidth="1"/>
    <col min="6" max="6" width="16.42578125" bestFit="1" customWidth="1"/>
    <col min="8" max="8" width="13.140625" customWidth="1"/>
    <col min="9" max="9" width="9.28515625" bestFit="1" customWidth="1"/>
    <col min="10" max="10" width="13" customWidth="1"/>
    <col min="11" max="11" width="16.42578125" bestFit="1" customWidth="1"/>
    <col min="12" max="12" width="14.7109375" bestFit="1" customWidth="1"/>
    <col min="13" max="13" width="16.5703125" bestFit="1" customWidth="1"/>
    <col min="17" max="17" width="9.85546875" customWidth="1"/>
  </cols>
  <sheetData>
    <row r="1" spans="1:14" ht="24" thickBot="1" x14ac:dyDescent="0.4">
      <c r="A1" s="1">
        <v>1</v>
      </c>
      <c r="B1" s="1">
        <v>2</v>
      </c>
      <c r="C1" s="1">
        <v>1</v>
      </c>
      <c r="D1" s="13">
        <v>1</v>
      </c>
      <c r="E1" s="13">
        <v>0</v>
      </c>
      <c r="F1" s="13">
        <v>0</v>
      </c>
      <c r="G1" s="8"/>
      <c r="H1" s="7">
        <f t="shared" ref="H1:M1" si="0">A1</f>
        <v>1</v>
      </c>
      <c r="I1" s="7">
        <f t="shared" si="0"/>
        <v>2</v>
      </c>
      <c r="J1" s="7">
        <f t="shared" si="0"/>
        <v>1</v>
      </c>
      <c r="K1" s="13">
        <f t="shared" si="0"/>
        <v>1</v>
      </c>
      <c r="L1" s="13">
        <f t="shared" si="0"/>
        <v>0</v>
      </c>
      <c r="M1" s="13">
        <f t="shared" si="0"/>
        <v>0</v>
      </c>
      <c r="N1" s="14"/>
    </row>
    <row r="2" spans="1:14" ht="24.75" thickTop="1" thickBot="1" x14ac:dyDescent="0.4">
      <c r="A2" s="1">
        <v>2</v>
      </c>
      <c r="B2" s="1">
        <v>1</v>
      </c>
      <c r="C2" s="1">
        <v>1</v>
      </c>
      <c r="D2" s="13">
        <v>0</v>
      </c>
      <c r="E2" s="13">
        <v>1</v>
      </c>
      <c r="F2" s="13">
        <v>0</v>
      </c>
      <c r="G2" s="15" t="s">
        <v>7</v>
      </c>
      <c r="H2" s="7">
        <f>A1*A2 -A2 * A1</f>
        <v>0</v>
      </c>
      <c r="I2" s="7">
        <f>A1*B2 - A2*B1</f>
        <v>-3</v>
      </c>
      <c r="J2" s="7">
        <f>A1*C2 - A2 * C1</f>
        <v>-1</v>
      </c>
      <c r="K2" s="13">
        <f>A1*D2 - A2 * D1</f>
        <v>-2</v>
      </c>
      <c r="L2" s="13">
        <f>A1*E2 - A2 * E1</f>
        <v>1</v>
      </c>
      <c r="M2" s="13">
        <f>A1*F2 - A2 * F1</f>
        <v>0</v>
      </c>
      <c r="N2" s="15" t="s">
        <v>7</v>
      </c>
    </row>
    <row r="3" spans="1:14" ht="24.75" thickTop="1" thickBot="1" x14ac:dyDescent="0.4">
      <c r="A3" s="1">
        <v>2</v>
      </c>
      <c r="B3" s="1">
        <v>3</v>
      </c>
      <c r="C3" s="1">
        <v>1</v>
      </c>
      <c r="D3" s="13">
        <v>0</v>
      </c>
      <c r="E3" s="13">
        <v>0</v>
      </c>
      <c r="F3" s="13">
        <v>1</v>
      </c>
      <c r="G3" s="8"/>
      <c r="H3" s="7">
        <f>A1*A3 - A3*A1</f>
        <v>0</v>
      </c>
      <c r="I3" s="7">
        <f>A1*B3 - A3*B1</f>
        <v>-1</v>
      </c>
      <c r="J3" s="7">
        <f>A1*C3 - A3*C1</f>
        <v>-1</v>
      </c>
      <c r="K3" s="13">
        <f>A1*D3 - A3*D1</f>
        <v>-2</v>
      </c>
      <c r="L3" s="13">
        <f>A1*E3 - A3*E1</f>
        <v>0</v>
      </c>
      <c r="M3" s="13">
        <f>A1*F3 - A3*F1</f>
        <v>1</v>
      </c>
      <c r="N3" s="14"/>
    </row>
    <row r="4" spans="1:14" ht="25.5" customHeight="1" thickTop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24" thickBot="1" x14ac:dyDescent="0.4">
      <c r="A5" s="7">
        <f>I2*H1 - I1*H2</f>
        <v>-3</v>
      </c>
      <c r="B5" s="7">
        <f>I2*I1 - I1*I2</f>
        <v>0</v>
      </c>
      <c r="C5" s="7">
        <f>I2*J1 - I1*J2</f>
        <v>-1</v>
      </c>
      <c r="D5" s="13">
        <f>I2*K1 - I1*K2</f>
        <v>1</v>
      </c>
      <c r="E5" s="13">
        <f>I2*L1 - I1*L2</f>
        <v>-2</v>
      </c>
      <c r="F5" s="13">
        <f>I2*M1 - I1*M2</f>
        <v>0</v>
      </c>
      <c r="G5" s="8"/>
      <c r="H5" s="7">
        <f>C7*A5 - C5*A7</f>
        <v>-6</v>
      </c>
      <c r="I5" s="7">
        <f>C7*B5 - C5*B7</f>
        <v>0</v>
      </c>
      <c r="J5" s="7">
        <f>C7*C5 - C5*C7</f>
        <v>0</v>
      </c>
      <c r="K5" s="13">
        <f>C7*D5 - C5*D7</f>
        <v>6</v>
      </c>
      <c r="L5" s="13">
        <f>C7*E5 - C5*E7</f>
        <v>-3</v>
      </c>
      <c r="M5" s="13">
        <f>C7*F5 - C5*F7</f>
        <v>-3</v>
      </c>
      <c r="N5" s="14"/>
    </row>
    <row r="6" spans="1:14" ht="24.75" thickTop="1" thickBot="1" x14ac:dyDescent="0.4">
      <c r="A6" s="7">
        <f t="shared" ref="A6:F6" si="1">H2</f>
        <v>0</v>
      </c>
      <c r="B6" s="7">
        <f t="shared" si="1"/>
        <v>-3</v>
      </c>
      <c r="C6" s="7">
        <f t="shared" si="1"/>
        <v>-1</v>
      </c>
      <c r="D6" s="13">
        <f t="shared" si="1"/>
        <v>-2</v>
      </c>
      <c r="E6" s="13">
        <f t="shared" si="1"/>
        <v>1</v>
      </c>
      <c r="F6" s="13">
        <f t="shared" si="1"/>
        <v>0</v>
      </c>
      <c r="G6" s="15" t="s">
        <v>7</v>
      </c>
      <c r="H6" s="7">
        <f>C7*A6 - C6*A7</f>
        <v>0</v>
      </c>
      <c r="I6" s="7">
        <f>C7*B6 - C6*B7</f>
        <v>-6</v>
      </c>
      <c r="J6" s="7">
        <f>C7*C6 - C6*C7</f>
        <v>0</v>
      </c>
      <c r="K6" s="13">
        <f>C7*D6 - C6*D7</f>
        <v>0</v>
      </c>
      <c r="L6" s="13">
        <f>C7*E6 - C6*E7</f>
        <v>3</v>
      </c>
      <c r="M6" s="13">
        <f>C7*F6 - C6*F7</f>
        <v>-3</v>
      </c>
      <c r="N6" s="15" t="s">
        <v>7</v>
      </c>
    </row>
    <row r="7" spans="1:14" ht="24.75" thickTop="1" thickBot="1" x14ac:dyDescent="0.4">
      <c r="A7" s="7">
        <f>I2*H3 - I3*H2</f>
        <v>0</v>
      </c>
      <c r="B7" s="7">
        <f>I2*I3 - I3*I2</f>
        <v>0</v>
      </c>
      <c r="C7" s="7">
        <f>I2*J3 - I3*J2</f>
        <v>2</v>
      </c>
      <c r="D7" s="13">
        <f>I2*K3 - I3*K2</f>
        <v>4</v>
      </c>
      <c r="E7" s="13">
        <f>I2*L3 - I3*L2</f>
        <v>1</v>
      </c>
      <c r="F7" s="13">
        <f>I2*M3 - I3*M2</f>
        <v>-3</v>
      </c>
      <c r="G7" s="8"/>
      <c r="H7" s="7">
        <f t="shared" ref="H7:M7" si="2">A7</f>
        <v>0</v>
      </c>
      <c r="I7" s="7">
        <f t="shared" si="2"/>
        <v>0</v>
      </c>
      <c r="J7" s="7">
        <f t="shared" si="2"/>
        <v>2</v>
      </c>
      <c r="K7" s="13">
        <f t="shared" si="2"/>
        <v>4</v>
      </c>
      <c r="L7" s="13">
        <f t="shared" si="2"/>
        <v>1</v>
      </c>
      <c r="M7" s="13">
        <f t="shared" si="2"/>
        <v>-3</v>
      </c>
      <c r="N7" s="14"/>
    </row>
    <row r="8" spans="1:14" ht="25.5" customHeight="1" thickTop="1" x14ac:dyDescent="0.35">
      <c r="A8" s="16"/>
      <c r="B8" s="16"/>
      <c r="C8" s="16"/>
      <c r="D8" s="16"/>
      <c r="E8" s="16"/>
      <c r="F8" s="16"/>
      <c r="G8" s="16" t="s">
        <v>10</v>
      </c>
      <c r="H8" s="16"/>
      <c r="I8" s="16"/>
      <c r="J8" s="16"/>
      <c r="K8" s="16"/>
      <c r="L8" s="16"/>
      <c r="M8" s="16"/>
      <c r="N8" s="14"/>
    </row>
    <row r="9" spans="1:14" ht="24" thickBot="1" x14ac:dyDescent="0.4">
      <c r="A9" s="7">
        <f xml:space="preserve"> (1 / H5) * H5</f>
        <v>1</v>
      </c>
      <c r="B9" s="7">
        <f xml:space="preserve"> (1 / H5) * I5</f>
        <v>0</v>
      </c>
      <c r="C9" s="7">
        <f xml:space="preserve"> (1 / H5) * J5</f>
        <v>0</v>
      </c>
      <c r="D9" s="13">
        <f xml:space="preserve"> (1 / H5) * K5</f>
        <v>-1</v>
      </c>
      <c r="E9" s="13">
        <f xml:space="preserve"> (1 / H5) * L5</f>
        <v>0.5</v>
      </c>
      <c r="F9" s="13">
        <f xml:space="preserve"> (1 / H5) * M5</f>
        <v>0.5</v>
      </c>
      <c r="G9" s="8"/>
      <c r="H9" s="8"/>
      <c r="I9" s="8"/>
      <c r="J9" s="8"/>
      <c r="K9" s="3">
        <f t="shared" ref="K9:M11" si="3">D9</f>
        <v>-1</v>
      </c>
      <c r="L9" s="3">
        <f t="shared" si="3"/>
        <v>0.5</v>
      </c>
      <c r="M9" s="3">
        <f t="shared" si="3"/>
        <v>0.5</v>
      </c>
      <c r="N9" s="14"/>
    </row>
    <row r="10" spans="1:14" ht="24.75" thickTop="1" thickBot="1" x14ac:dyDescent="0.4">
      <c r="A10" s="7">
        <f xml:space="preserve"> ( 1 / I6) * H6</f>
        <v>0</v>
      </c>
      <c r="B10" s="7">
        <f xml:space="preserve"> ( 1 / I6) * I6</f>
        <v>1</v>
      </c>
      <c r="C10" s="7">
        <f xml:space="preserve"> ( 1 / I6) * J6</f>
        <v>0</v>
      </c>
      <c r="D10" s="13">
        <f xml:space="preserve"> ( 1 / I6) * K6</f>
        <v>0</v>
      </c>
      <c r="E10" s="13">
        <f xml:space="preserve"> ( 1 / I6) * L6</f>
        <v>-0.5</v>
      </c>
      <c r="F10" s="13">
        <f xml:space="preserve"> ( 1 / I6) * M6</f>
        <v>0.5</v>
      </c>
      <c r="G10" s="8"/>
      <c r="H10" s="2" t="s">
        <v>9</v>
      </c>
      <c r="I10" s="8"/>
      <c r="J10" s="3" t="s">
        <v>8</v>
      </c>
      <c r="K10" s="3">
        <f t="shared" si="3"/>
        <v>0</v>
      </c>
      <c r="L10" s="3">
        <f t="shared" si="3"/>
        <v>-0.5</v>
      </c>
      <c r="M10" s="3">
        <f t="shared" si="3"/>
        <v>0.5</v>
      </c>
      <c r="N10" s="14"/>
    </row>
    <row r="11" spans="1:14" ht="24.75" thickTop="1" thickBot="1" x14ac:dyDescent="0.4">
      <c r="A11" s="7">
        <f xml:space="preserve"> ( 1 / J7) * H7</f>
        <v>0</v>
      </c>
      <c r="B11" s="7">
        <f xml:space="preserve"> ( 1 / J7) * I7</f>
        <v>0</v>
      </c>
      <c r="C11" s="7">
        <f xml:space="preserve"> ( 1 / J7) * J7</f>
        <v>1</v>
      </c>
      <c r="D11" s="13">
        <f xml:space="preserve"> ( 1 / J7) * K7</f>
        <v>2</v>
      </c>
      <c r="E11" s="13">
        <f xml:space="preserve"> ( 1 / J7) * L7</f>
        <v>0.5</v>
      </c>
      <c r="F11" s="13">
        <f xml:space="preserve"> ( 1 / J7) * M7</f>
        <v>-1.5</v>
      </c>
      <c r="G11" s="8"/>
      <c r="H11" s="8"/>
      <c r="I11" s="8"/>
      <c r="J11" s="8"/>
      <c r="K11" s="3">
        <f t="shared" si="3"/>
        <v>2</v>
      </c>
      <c r="L11" s="3">
        <f t="shared" si="3"/>
        <v>0.5</v>
      </c>
      <c r="M11" s="3">
        <f t="shared" si="3"/>
        <v>-1.5</v>
      </c>
      <c r="N11" s="14"/>
    </row>
    <row r="12" spans="1:14" ht="24" thickTop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24" thickBot="1" x14ac:dyDescent="0.4">
      <c r="A13" s="17">
        <f xml:space="preserve"> (1 / H5) * H5</f>
        <v>1</v>
      </c>
      <c r="B13" s="17">
        <f xml:space="preserve"> (1 / H5) * I5</f>
        <v>0</v>
      </c>
      <c r="C13" s="17">
        <f xml:space="preserve"> (1 / H5) * J5</f>
        <v>0</v>
      </c>
      <c r="D13" s="18">
        <f xml:space="preserve"> (1 / H5) * K5</f>
        <v>-1</v>
      </c>
      <c r="E13" s="18">
        <f xml:space="preserve"> (1 / H5) * L5</f>
        <v>0.5</v>
      </c>
      <c r="F13" s="18">
        <f xml:space="preserve"> (1 / H5) * M5</f>
        <v>0.5</v>
      </c>
      <c r="G13" s="8"/>
      <c r="H13" s="8"/>
      <c r="I13" s="8"/>
      <c r="J13" s="8"/>
      <c r="K13" s="19">
        <f t="shared" ref="K13:M15" si="4">D13</f>
        <v>-1</v>
      </c>
      <c r="L13" s="19">
        <f t="shared" si="4"/>
        <v>0.5</v>
      </c>
      <c r="M13" s="19">
        <f t="shared" si="4"/>
        <v>0.5</v>
      </c>
      <c r="N13" s="14"/>
    </row>
    <row r="14" spans="1:14" ht="24.75" thickTop="1" thickBot="1" x14ac:dyDescent="0.4">
      <c r="A14" s="17">
        <f xml:space="preserve"> ( 1 / I6) * H6</f>
        <v>0</v>
      </c>
      <c r="B14" s="17">
        <f xml:space="preserve"> ( 1 / I6) * I6</f>
        <v>1</v>
      </c>
      <c r="C14" s="17">
        <f xml:space="preserve"> ( 1 / I6) * J6</f>
        <v>0</v>
      </c>
      <c r="D14" s="18">
        <f xml:space="preserve"> ( 1 / I6) * K6</f>
        <v>0</v>
      </c>
      <c r="E14" s="18">
        <f xml:space="preserve"> ( 1 / I6) * L6</f>
        <v>-0.5</v>
      </c>
      <c r="F14" s="18">
        <f xml:space="preserve"> ( 1 / I6) * M6</f>
        <v>0.5</v>
      </c>
      <c r="G14" s="8"/>
      <c r="H14" s="2" t="s">
        <v>2</v>
      </c>
      <c r="I14" s="8"/>
      <c r="J14" s="3" t="s">
        <v>8</v>
      </c>
      <c r="K14" s="19">
        <f t="shared" si="4"/>
        <v>0</v>
      </c>
      <c r="L14" s="19">
        <f t="shared" si="4"/>
        <v>-0.5</v>
      </c>
      <c r="M14" s="19">
        <f t="shared" si="4"/>
        <v>0.5</v>
      </c>
      <c r="N14" s="14"/>
    </row>
    <row r="15" spans="1:14" ht="24.75" thickTop="1" thickBot="1" x14ac:dyDescent="0.4">
      <c r="A15" s="17">
        <f xml:space="preserve"> ( 1 / J7) * H7</f>
        <v>0</v>
      </c>
      <c r="B15" s="17">
        <f xml:space="preserve"> ( 1 / J7) * I7</f>
        <v>0</v>
      </c>
      <c r="C15" s="17">
        <f xml:space="preserve"> ( 1 / J7) * J7</f>
        <v>1</v>
      </c>
      <c r="D15" s="18">
        <f xml:space="preserve"> ( 1 / J7) * K7</f>
        <v>2</v>
      </c>
      <c r="E15" s="18">
        <f xml:space="preserve"> ( 1 / J7) * L7</f>
        <v>0.5</v>
      </c>
      <c r="F15" s="18">
        <f xml:space="preserve"> ( 1 / J7) * M7</f>
        <v>-1.5</v>
      </c>
      <c r="G15" s="8"/>
      <c r="H15" s="8"/>
      <c r="I15" s="8"/>
      <c r="J15" s="8"/>
      <c r="K15" s="19">
        <f t="shared" si="4"/>
        <v>2</v>
      </c>
      <c r="L15" s="19">
        <f t="shared" si="4"/>
        <v>0.5</v>
      </c>
      <c r="M15" s="19">
        <f t="shared" si="4"/>
        <v>-1.5</v>
      </c>
      <c r="N15" s="14"/>
    </row>
    <row r="16" spans="1:14" ht="24" thickTop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3.25" x14ac:dyDescent="0.35">
      <c r="A17" s="8"/>
      <c r="B17" s="8"/>
      <c r="C17" s="8"/>
      <c r="D17" s="8"/>
      <c r="E17" s="20"/>
      <c r="F17" s="20"/>
      <c r="G17" s="21" t="s">
        <v>11</v>
      </c>
      <c r="H17" s="20"/>
      <c r="I17" s="20"/>
      <c r="J17" s="10"/>
      <c r="K17" s="8"/>
      <c r="L17" s="8"/>
      <c r="M17" s="8"/>
      <c r="N17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D860-0484-43E7-BC0B-5083D1C1CA6A}">
  <dimension ref="A1:N11"/>
  <sheetViews>
    <sheetView workbookViewId="0">
      <selection activeCell="D30" sqref="D30"/>
    </sheetView>
  </sheetViews>
  <sheetFormatPr defaultRowHeight="15" x14ac:dyDescent="0.25"/>
  <cols>
    <col min="8" max="8" width="15.42578125" bestFit="1" customWidth="1"/>
  </cols>
  <sheetData>
    <row r="1" spans="1:14" ht="23.25" x14ac:dyDescent="0.35">
      <c r="A1" s="1">
        <v>1</v>
      </c>
      <c r="B1" s="1">
        <v>2</v>
      </c>
      <c r="C1" s="1">
        <v>1</v>
      </c>
      <c r="D1" s="2"/>
      <c r="E1" s="12"/>
      <c r="F1" s="22" t="s">
        <v>1</v>
      </c>
      <c r="G1" s="11"/>
      <c r="H1" s="22" t="s">
        <v>2</v>
      </c>
      <c r="I1" s="12"/>
      <c r="J1" s="22" t="s">
        <v>3</v>
      </c>
    </row>
    <row r="2" spans="1:14" ht="23.25" x14ac:dyDescent="0.35">
      <c r="A2" s="1">
        <v>2</v>
      </c>
      <c r="B2" s="1">
        <v>1</v>
      </c>
      <c r="C2" s="1">
        <v>1</v>
      </c>
      <c r="D2" s="2"/>
      <c r="E2" s="23" t="s">
        <v>12</v>
      </c>
      <c r="F2" s="23">
        <f>(A9 * B10 * C11) / (A1 * A1 * B6)</f>
        <v>2</v>
      </c>
      <c r="G2" s="2"/>
      <c r="H2" s="25">
        <f>(A9 * B10 * C11) / (A1 * A1 * B6)</f>
        <v>2</v>
      </c>
      <c r="J2" s="24">
        <f>(A9 * B10 * C11) / (A1 * A1 * B6)</f>
        <v>2</v>
      </c>
    </row>
    <row r="3" spans="1:14" ht="23.25" x14ac:dyDescent="0.35">
      <c r="A3" s="1">
        <v>2</v>
      </c>
      <c r="B3" s="1">
        <v>3</v>
      </c>
      <c r="C3" s="1">
        <v>1</v>
      </c>
      <c r="D3" s="2"/>
      <c r="E3" s="2"/>
      <c r="F3" s="2"/>
      <c r="G3" s="2"/>
    </row>
    <row r="4" spans="1:14" ht="23.25" x14ac:dyDescent="0.35">
      <c r="A4" s="2"/>
      <c r="B4" s="2"/>
      <c r="C4" s="2"/>
      <c r="D4" s="2"/>
      <c r="E4" s="2"/>
      <c r="F4" s="2"/>
      <c r="G4" s="2"/>
    </row>
    <row r="5" spans="1:14" ht="23.25" x14ac:dyDescent="0.35">
      <c r="A5" s="3">
        <f>A1</f>
        <v>1</v>
      </c>
      <c r="B5" s="3">
        <f>B1</f>
        <v>2</v>
      </c>
      <c r="C5" s="3">
        <f>C1</f>
        <v>1</v>
      </c>
      <c r="D5" s="2"/>
      <c r="E5" s="2"/>
      <c r="F5" s="2"/>
      <c r="G5" s="2"/>
    </row>
    <row r="6" spans="1:14" ht="23.25" x14ac:dyDescent="0.35">
      <c r="A6" s="3">
        <f>-A2 * A1 + A1 * A2</f>
        <v>0</v>
      </c>
      <c r="B6" s="3">
        <f>-A2 * B1 + A1 * B2</f>
        <v>-3</v>
      </c>
      <c r="C6" s="3">
        <f>-A2 * C1 + A1 * C2</f>
        <v>-1</v>
      </c>
      <c r="D6" s="2"/>
      <c r="E6" s="20" t="s">
        <v>11</v>
      </c>
      <c r="F6" s="20"/>
      <c r="G6" s="26"/>
      <c r="H6" s="20"/>
      <c r="I6" s="20"/>
      <c r="J6" s="10"/>
      <c r="N6" s="9"/>
    </row>
    <row r="7" spans="1:14" ht="23.25" x14ac:dyDescent="0.35">
      <c r="A7" s="3">
        <f>-A3 * A1 + A1 * A3</f>
        <v>0</v>
      </c>
      <c r="B7" s="3">
        <f>-A3 * B1 + A1 * B3</f>
        <v>-1</v>
      </c>
      <c r="C7" s="3">
        <f>-A3 * C1 + A1* C3</f>
        <v>-1</v>
      </c>
      <c r="D7" s="2"/>
      <c r="E7" s="2"/>
      <c r="F7" s="2"/>
      <c r="G7" s="2"/>
    </row>
    <row r="8" spans="1:14" ht="23.25" x14ac:dyDescent="0.35">
      <c r="A8" s="2"/>
      <c r="B8" s="2"/>
      <c r="C8" s="2"/>
      <c r="D8" s="2"/>
      <c r="E8" s="2"/>
      <c r="F8" s="2"/>
      <c r="G8" s="2"/>
    </row>
    <row r="9" spans="1:14" ht="23.25" x14ac:dyDescent="0.35">
      <c r="A9" s="3">
        <f t="shared" ref="A9:C10" si="0">A5</f>
        <v>1</v>
      </c>
      <c r="B9" s="3">
        <f t="shared" si="0"/>
        <v>2</v>
      </c>
      <c r="C9" s="3">
        <f t="shared" si="0"/>
        <v>1</v>
      </c>
      <c r="D9" s="2"/>
      <c r="E9" s="2"/>
      <c r="F9" s="2"/>
      <c r="G9" s="2"/>
    </row>
    <row r="10" spans="1:14" ht="23.25" x14ac:dyDescent="0.35">
      <c r="A10" s="3">
        <f t="shared" si="0"/>
        <v>0</v>
      </c>
      <c r="B10" s="3">
        <f t="shared" si="0"/>
        <v>-3</v>
      </c>
      <c r="C10" s="3">
        <f t="shared" si="0"/>
        <v>-1</v>
      </c>
      <c r="D10" s="2"/>
      <c r="E10" s="2"/>
      <c r="F10" s="2"/>
      <c r="G10" s="2"/>
    </row>
    <row r="11" spans="1:14" ht="23.25" x14ac:dyDescent="0.35">
      <c r="A11" s="3">
        <f>-B7 * A6 + B6 * A7</f>
        <v>0</v>
      </c>
      <c r="B11" s="3">
        <f>-B7 * B6 + B6 * B7</f>
        <v>0</v>
      </c>
      <c r="C11" s="3">
        <f>-B7 * C6 + B6 * C7</f>
        <v>2</v>
      </c>
      <c r="D11" s="2"/>
      <c r="E11" s="2"/>
      <c r="F11" s="2"/>
      <c r="G1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3x3</vt:lpstr>
      <vt:lpstr>Inversa 3x3</vt:lpstr>
      <vt:lpstr>Determinante 3x3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</dc:creator>
  <cp:lastModifiedBy>CAIO EDIMAR SANTOS SILVA</cp:lastModifiedBy>
  <dcterms:created xsi:type="dcterms:W3CDTF">2025-09-21T03:50:35Z</dcterms:created>
  <dcterms:modified xsi:type="dcterms:W3CDTF">2025-09-21T15:53:58Z</dcterms:modified>
</cp:coreProperties>
</file>